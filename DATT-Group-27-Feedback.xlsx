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202300"/>
  <mc:AlternateContent xmlns:mc="http://schemas.openxmlformats.org/markup-compatibility/2006">
    <mc:Choice Requires="x15">
      <x15ac:absPath xmlns:x15ac="http://schemas.microsoft.com/office/spreadsheetml/2010/11/ac" url="/Users/keithharris/Documents/Data-Analytics-Tools-And-Techniques/2024-25/Assessment/Assignment-2/Submissions/Marked/Group-27/"/>
    </mc:Choice>
  </mc:AlternateContent>
  <xr:revisionPtr revIDLastSave="0" documentId="8_{2766A9FF-3E96-EE4C-8F97-4A6E1F4469F3}" xr6:coauthVersionLast="47" xr6:coauthVersionMax="47" xr10:uidLastSave="{00000000-0000-0000-0000-000000000000}"/>
  <bookViews>
    <workbookView xWindow="1080" yWindow="1240" windowWidth="27640" windowHeight="16500" xr2:uid="{8635D27F-BD67-894C-9BAF-4D45D542B1F2}"/>
  </bookViews>
  <sheets>
    <sheet name="Sheet1" sheetId="1" r:id="rId1"/>
  </sheets>
  <externalReferences>
    <externalReference r:id="rId2"/>
  </externalReferenc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3" i="1" l="1"/>
  <c r="C92" i="1"/>
  <c r="C91" i="1"/>
  <c r="C90" i="1"/>
  <c r="D93" i="1" s="1"/>
  <c r="C87" i="1"/>
  <c r="C86" i="1"/>
  <c r="C85" i="1"/>
  <c r="C83" i="1"/>
  <c r="C81" i="1"/>
  <c r="C80" i="1"/>
  <c r="C78" i="1"/>
  <c r="C75" i="1"/>
  <c r="C74" i="1"/>
  <c r="C73" i="1"/>
  <c r="C72" i="1"/>
  <c r="C71" i="1"/>
  <c r="C69" i="1"/>
  <c r="C68" i="1"/>
  <c r="C67" i="1"/>
  <c r="C66" i="1"/>
  <c r="C65" i="1"/>
  <c r="C64" i="1"/>
  <c r="C63" i="1"/>
  <c r="C61" i="1"/>
  <c r="C60" i="1"/>
  <c r="C59" i="1"/>
  <c r="C58" i="1"/>
  <c r="C57" i="1"/>
  <c r="C54" i="1"/>
  <c r="C53" i="1"/>
  <c r="C51" i="1"/>
  <c r="C50" i="1"/>
  <c r="C49" i="1"/>
  <c r="C48" i="1"/>
  <c r="C46" i="1"/>
  <c r="C44" i="1"/>
  <c r="C43" i="1"/>
  <c r="C41" i="1"/>
  <c r="C40" i="1"/>
  <c r="C39" i="1"/>
  <c r="C38" i="1"/>
  <c r="C36" i="1"/>
  <c r="C35" i="1"/>
  <c r="C34" i="1"/>
  <c r="C33" i="1"/>
  <c r="C31" i="1"/>
  <c r="C30" i="1"/>
  <c r="C29" i="1"/>
  <c r="C28" i="1"/>
  <c r="C25" i="1"/>
  <c r="C23" i="1"/>
  <c r="C22" i="1"/>
  <c r="C20" i="1"/>
  <c r="C19" i="1"/>
  <c r="C18" i="1"/>
  <c r="C16" i="1"/>
  <c r="C15" i="1"/>
  <c r="C13" i="1"/>
  <c r="C12" i="1"/>
  <c r="D9" i="1"/>
  <c r="C7" i="1"/>
  <c r="C6" i="1"/>
  <c r="C5" i="1"/>
  <c r="C4" i="1"/>
  <c r="C3" i="1"/>
  <c r="C2" i="1"/>
  <c r="D25" i="1" l="1"/>
  <c r="D87" i="1"/>
  <c r="D75" i="1"/>
  <c r="D54" i="1"/>
  <c r="C95" i="1"/>
  <c r="C96" i="1" s="1"/>
</calcChain>
</file>

<file path=xl/sharedStrings.xml><?xml version="1.0" encoding="utf-8"?>
<sst xmlns="http://schemas.openxmlformats.org/spreadsheetml/2006/main" count="116" uniqueCount="107">
  <si>
    <t>DATA ANALYTICS: TOOLS AND TECHNIQUES GROUP PRESENTATION FEEDBACK</t>
  </si>
  <si>
    <t>Group:</t>
  </si>
  <si>
    <t>Names:</t>
  </si>
  <si>
    <t>%:</t>
  </si>
  <si>
    <t>Question 1</t>
  </si>
  <si>
    <t>Task</t>
  </si>
  <si>
    <t>Mark</t>
  </si>
  <si>
    <t>Q1i</t>
  </si>
  <si>
    <t>Sample mean and standard deviation for each type of salesperson given</t>
  </si>
  <si>
    <t>Good interpretation given</t>
  </si>
  <si>
    <t>Q1ii</t>
  </si>
  <si>
    <t>Good explanations of distributional assumptions</t>
  </si>
  <si>
    <t>Appropriate histograms given for both samples and discussed</t>
  </si>
  <si>
    <t>Q1iii</t>
  </si>
  <si>
    <t>Correct parametric test done but hypothesis not stated correctly</t>
  </si>
  <si>
    <t>Correct confidence intervals given</t>
  </si>
  <si>
    <t>Good interpretation and explanation given</t>
  </si>
  <si>
    <t>Q1iv</t>
  </si>
  <si>
    <t>Correct non-parametric test done but with wrong tail type</t>
  </si>
  <si>
    <t>Excellent, detailed comparison of the two test outcomes done</t>
  </si>
  <si>
    <t>Q1v</t>
  </si>
  <si>
    <t>Fairly good advice given regarding the effectiveness of the proposed training course</t>
  </si>
  <si>
    <t>Total Q1</t>
  </si>
  <si>
    <t>Question 2</t>
  </si>
  <si>
    <t>Q2i</t>
  </si>
  <si>
    <t>Clearly showed correct correlation matrix</t>
  </si>
  <si>
    <t>Clearly showed  Table of Parameter Estimates and Variation Inflation</t>
  </si>
  <si>
    <t>Incorrect or no Collinearity Diagnostics Table Shown</t>
  </si>
  <si>
    <t>Some discussion of multicollinearity  between the explanatory variables</t>
  </si>
  <si>
    <t>Q2ii</t>
  </si>
  <si>
    <t>Both stepwise and backward elimination regression models fitted correctly</t>
  </si>
  <si>
    <t>Minimal justification provided for each step of each model</t>
  </si>
  <si>
    <t>All relevant explanatory variables in final reduced model identified correctly</t>
  </si>
  <si>
    <t>Good discussion and interpretation given in light of the collinearity analysis</t>
  </si>
  <si>
    <t>Q2iii</t>
  </si>
  <si>
    <t>Model selection correctly done using Cp method and some comparison given</t>
  </si>
  <si>
    <t>Minimal discussion on reduced models identified in part (ii) above</t>
  </si>
  <si>
    <t>Correct final reduced model and justification given</t>
  </si>
  <si>
    <t>No information used in model choice provided</t>
  </si>
  <si>
    <t>Q2iv</t>
  </si>
  <si>
    <t>Missing / incorrect fitted regression equation</t>
  </si>
  <si>
    <t>Some discussion and analysis of partial regression coefficients</t>
  </si>
  <si>
    <t>Q2v</t>
  </si>
  <si>
    <t>Some discussion and analysis of fitted values and studentised/deleted residuals</t>
  </si>
  <si>
    <t>Q2vi</t>
  </si>
  <si>
    <t>All potential influential observations correctly identified</t>
  </si>
  <si>
    <t>New variable ID created and good discussion given</t>
  </si>
  <si>
    <t>Two most extreme observations identified but weak discussion given</t>
  </si>
  <si>
    <t>Some values of leverage, deleted residuals, covariance ratio and DFBETAS correctly given</t>
  </si>
  <si>
    <t>Q2vii</t>
  </si>
  <si>
    <t>Partial interpretation and some advice given</t>
  </si>
  <si>
    <t>Correct maximum price calculated</t>
  </si>
  <si>
    <t>Total Q2</t>
  </si>
  <si>
    <t>Question 3</t>
  </si>
  <si>
    <t>Q3i</t>
  </si>
  <si>
    <t>Bivariate regression model of Claim on Age correctly done</t>
  </si>
  <si>
    <t>Scatterplot of Claim against Age with the fitted regression line superimposed</t>
  </si>
  <si>
    <t>Plot of studentised residuals against fitted values correctly done</t>
  </si>
  <si>
    <t>Excellent critical discussion and insight given</t>
  </si>
  <si>
    <t>Incorrect or No conclusions given</t>
  </si>
  <si>
    <t>Q3ii</t>
  </si>
  <si>
    <t>Bivariate regression model of LnClaim on Age correctly done</t>
  </si>
  <si>
    <t>Scatterplot of LnClaim on Age with fitted regression line superimposed</t>
  </si>
  <si>
    <t>Histogram of the studentised residuals correctly done</t>
  </si>
  <si>
    <t>Normal probability plot of the studentised residuals correctly done</t>
  </si>
  <si>
    <t>Excellent explanation and model adequacy given</t>
  </si>
  <si>
    <t>Excellent recommendation given and correct model identified</t>
  </si>
  <si>
    <t>Q3iii</t>
  </si>
  <si>
    <t>Correct fitted model obtained in (ii) is given</t>
  </si>
  <si>
    <t>Excellent explanation of usage of model for prediction is given</t>
  </si>
  <si>
    <t>Excellent interpretation on model slope given</t>
  </si>
  <si>
    <t>Wrong or No estimation/Confidence interval derived</t>
  </si>
  <si>
    <t>Correct mean value of Claim estimated</t>
  </si>
  <si>
    <t>Total Q3</t>
  </si>
  <si>
    <t>Question 4</t>
  </si>
  <si>
    <t>Q4a</t>
  </si>
  <si>
    <t>Appropriate frequency distribution table given</t>
  </si>
  <si>
    <t>Q4b</t>
  </si>
  <si>
    <t>Correct sample proportion table given</t>
  </si>
  <si>
    <t>Correct findings given</t>
  </si>
  <si>
    <t>Q4c</t>
  </si>
  <si>
    <t>Comprehensive Statistical test set but hypothesis not declared</t>
  </si>
  <si>
    <t>Q4d</t>
  </si>
  <si>
    <t>Difference of true proportions is incorrect or missing</t>
  </si>
  <si>
    <t>Incorrect confidence interval given</t>
  </si>
  <si>
    <t>Correct justification and interpretation given</t>
  </si>
  <si>
    <t>Total Q4</t>
  </si>
  <si>
    <t xml:space="preserve">Report </t>
  </si>
  <si>
    <t>Presentation Tasks</t>
  </si>
  <si>
    <t>Fairly organised Sections, Subheadings and page numbering done</t>
  </si>
  <si>
    <t>Report has some grammatical errors but within word count</t>
  </si>
  <si>
    <t>Only some figures, tables or screenshots given were labeled</t>
  </si>
  <si>
    <t>No use of first person – I, we, you, us, my in your report</t>
  </si>
  <si>
    <t>Presentation</t>
  </si>
  <si>
    <t>GRAND TOTAL</t>
  </si>
  <si>
    <t>OVERALL PERCENTAGE</t>
  </si>
  <si>
    <t>CATEGORICAL GRADE</t>
  </si>
  <si>
    <t>Comments</t>
  </si>
  <si>
    <t>Cosmetics Course Impact Analysis</t>
  </si>
  <si>
    <t xml:space="preserve">This question was answered well overall, especially the thorough comparison of the two tests conducted. However, there were some common mistakes. You conducted two-tailed tests instead of more appropriate one-tailed tests for this scenario, and you provided a two-sided confidence interval instead of a one-sided confidence interval. This affected your conclusions about the effectiveness of the training course. Despite this, your recommendation to the manager, to weigh training expenses against the marginal increase in sales, was sound.
</t>
  </si>
  <si>
    <t>Pub and Restaurant Income Analysis</t>
  </si>
  <si>
    <t>You provided a good answer to this question, but your analysis did contain some mistakes. Re: part i), you investigated the issue of multicollinearity well, but you could have gone further by obtaining the collinearity diagnostics to discover which variables are potentially collinear. Re: part ii), you should have included in your slide a full summary of all the steps of the backward elimination algorithm containing the p-values of the removed variables, as you glossed over the decisions made in the later steps of the algorithm. Otherwise, you showed a good understanding of the automated variable selection algorithms applied, particularly why the algorithms chose different models in light of the multicollinearity analysis conducted earlier. Re: part iii), although you correctly chose and justified the best model according to the Cp criterion, your investigation of model selection using this method could have been more thorough. You did not did not tabulate Cp for the best models of each size or investigate the Cp of the forward selection model or other three variable models. Re: part iv), the fitted regression equation you stated did not match the correct SAS output presented on the slide. Consequently, your interpretation of the partial regression coefficients of the model was incorrect. Re: part v), although you thoroughly investigated the validity of the model chosen by backward elimination, you did not include plots in your presentation to back up your conclusions like a histogram and QQ-plot of the residuals and a plot of the residuals vs. the fitted values. Re: part vi), although you provided a thorough investigation of potentially influential observations, you made some mistakes. You identified only one of the two most extreme observations correctly because you did not follow the method we taught to do this you of creating a Pareto plot of absolute DFFITS. Furthermore, the statistics given in your presentation were incorrect (despite your Appendix containing the correct values), which meant that some of your insights about the extreme observations were incorrect. Re: part vii), you calculated the predicted weekly and annual income of the Good King James pub correctly, but not the maximum price that the company should consider offering for 95% assurance that its investment in the property is well founded. You should have used a lower one-sided 95% confidence interval for the predicted Value of the property and multiplied this by 52 to obtain the maximum price required.</t>
  </si>
  <si>
    <t>Insurance Claim Analysis</t>
  </si>
  <si>
    <t>You provided an excellent answer to this question. All the required plots and SAS output were correctly obtained. You spotted the U-shaped pattern in the residual plot for the simple linear regression model and realised this indicated a misspecified relationship. There was some confusion about whether heteroscedasticity was also a problem, but this was cleared up in the Q&amp;A session. You correctly concluded that the log-linear model was superior to the simple linear regression model and justified this recommendation well. Part iii) was largely done correctly, but the values given in the text of Slide 21 for the Predicted LnClaim and 95% confidence interval for LnClaim were incorrect, despite the SAS output containing the correct values.</t>
  </si>
  <si>
    <t>Loans Repayment Analysis</t>
  </si>
  <si>
    <t>This question was also done well, but there were some common mistakes made and errors in your slides. Re: parts iii) and iv), like question 1, you should have conducted a one-tailed test instead of a two-tailed test and calculated a one-sided confidence interval instead of a two-sided confidence interval. Despite obtaining the correct SAS output for parts iii) and iv), the values given in the text of Slides 23 and 24 for the p-value, the estimated difference in true proportions and two-sided 95% confidence interval were all incorrect.</t>
  </si>
  <si>
    <t>Your PowerPoint slides would have benefited from being more polished. They contained numerous typographical errors and were overly wordy, with a font size that was too small for easy readability. Some information was unnecessarily duplicated, and only some figures and tables were properly labeled. You should have embedded your voiceovers directly into the PowerPoint presentation rather than submitting them as a separate mp4 file. While your verbal explanations were of good quality, they were somewhat brief and recorded in a noisy environment, which affected clarity.
Your performance in the Q&amp;A session was of a very good standard providing correct answers to many questions about hypothesis testing, multicollinearity, variable selection algorithms, assumption checking and model prediction, which helped improve your final grade. However, there were some questions on more advanced topics that you were unable to 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</si>
</sst>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Aptos Narrow"/>
      <family val="2"/>
      <scheme val="minor"/>
    </font>
    <font>
      <sz val="12"/>
      <color theme="1"/>
      <name val="Aptos Narrow"/>
      <family val="2"/>
      <scheme val="minor"/>
    </font>
    <font>
      <b/>
      <sz val="12"/>
      <color theme="1"/>
      <name val="Aptos Narrow"/>
      <family val="2"/>
      <scheme val="minor"/>
    </font>
    <font>
      <b/>
      <sz val="14"/>
      <color theme="1"/>
      <name val="Aptos Narrow"/>
      <family val="2"/>
      <scheme val="minor"/>
    </font>
    <font>
      <b/>
      <sz val="11"/>
      <color theme="1"/>
      <name val="Aptos Narrow"/>
      <family val="2"/>
      <scheme val="minor"/>
    </font>
    <font>
      <b/>
      <sz val="14"/>
      <color rgb="FFFF0000"/>
      <name val="Aptos Narrow"/>
      <family val="2"/>
      <scheme val="minor"/>
    </font>
    <font>
      <b/>
      <sz val="11"/>
      <color rgb="FF000000"/>
      <name val="Aptos Narrow"/>
      <family val="2"/>
      <scheme val="minor"/>
    </font>
    <font>
      <sz val="11"/>
      <color rgb="FF000000"/>
      <name val="Aptos Narrow"/>
      <family val="2"/>
      <scheme val="minor"/>
    </font>
    <font>
      <u/>
      <sz val="11"/>
      <color theme="1"/>
      <name val="Aptos Narrow"/>
      <family val="2"/>
      <scheme val="minor"/>
    </font>
  </fonts>
  <fills count="6">
    <fill>
      <patternFill patternType="none"/>
    </fill>
    <fill>
      <patternFill patternType="gray125"/>
    </fill>
    <fill>
      <patternFill patternType="solid">
        <fgColor theme="7" tint="0.59999389629810485"/>
        <bgColor indexed="64"/>
      </patternFill>
    </fill>
    <fill>
      <patternFill patternType="solid">
        <fgColor theme="6" tint="0.39997558519241921"/>
        <bgColor indexed="64"/>
      </patternFill>
    </fill>
    <fill>
      <patternFill patternType="solid">
        <fgColor theme="6" tint="0.59999389629810485"/>
        <bgColor indexed="64"/>
      </patternFill>
    </fill>
    <fill>
      <patternFill patternType="solid">
        <fgColor theme="8" tint="0.39997558519241921"/>
        <bgColor indexed="64"/>
      </patternFill>
    </fill>
  </fills>
  <borders count="17">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1" fillId="0" borderId="0" applyFont="0" applyFill="0" applyBorder="0" applyAlignment="0" applyProtection="0"/>
  </cellStyleXfs>
  <cellXfs count="63">
    <xf numFmtId="0" fontId="0" fillId="0" borderId="0" xfId="0"/>
    <xf numFmtId="0" fontId="3" fillId="0" borderId="1" xfId="0" applyFont="1" applyBorder="1" applyAlignment="1">
      <alignment horizontal="center" vertical="top"/>
    </xf>
    <xf numFmtId="0" fontId="3" fillId="0" borderId="2" xfId="0" applyFont="1" applyBorder="1" applyAlignment="1">
      <alignment horizontal="center" vertical="top"/>
    </xf>
    <xf numFmtId="0" fontId="3" fillId="0" borderId="3" xfId="0" applyFont="1" applyBorder="1" applyAlignment="1">
      <alignment horizontal="center" vertical="top"/>
    </xf>
    <xf numFmtId="0" fontId="0" fillId="0" borderId="0" xfId="0" applyAlignment="1">
      <alignment vertical="top"/>
    </xf>
    <xf numFmtId="0" fontId="0" fillId="0" borderId="0" xfId="0" applyAlignment="1">
      <alignment vertical="top" wrapText="1"/>
    </xf>
    <xf numFmtId="0" fontId="4" fillId="0" borderId="4" xfId="0" applyFont="1" applyBorder="1" applyAlignment="1">
      <alignment vertical="top"/>
    </xf>
    <xf numFmtId="0" fontId="4" fillId="0" borderId="0" xfId="0" applyFont="1" applyAlignment="1">
      <alignment horizontal="right" vertical="top"/>
    </xf>
    <xf numFmtId="0" fontId="4" fillId="2" borderId="0" xfId="0" applyFont="1" applyFill="1" applyAlignment="1">
      <alignment horizontal="left" vertical="top"/>
    </xf>
    <xf numFmtId="0" fontId="4" fillId="2" borderId="5" xfId="0" applyFont="1" applyFill="1" applyBorder="1" applyAlignment="1">
      <alignment horizontal="left" vertical="top"/>
    </xf>
    <xf numFmtId="0" fontId="4" fillId="2" borderId="0" xfId="0" applyFont="1" applyFill="1" applyAlignment="1">
      <alignment horizontal="left" vertical="top"/>
    </xf>
    <xf numFmtId="0" fontId="4" fillId="2" borderId="5" xfId="0" applyFont="1" applyFill="1" applyBorder="1" applyAlignment="1">
      <alignment horizontal="left" vertical="top"/>
    </xf>
    <xf numFmtId="0" fontId="4" fillId="0" borderId="0" xfId="0" applyFont="1" applyAlignment="1">
      <alignment horizontal="left" vertical="top"/>
    </xf>
    <xf numFmtId="0" fontId="4" fillId="3" borderId="0" xfId="0" applyFont="1" applyFill="1" applyAlignment="1">
      <alignment horizontal="center" vertical="top"/>
    </xf>
    <xf numFmtId="1" fontId="5" fillId="3" borderId="0" xfId="1" applyNumberFormat="1" applyFont="1" applyFill="1" applyBorder="1" applyAlignment="1">
      <alignment horizontal="center" vertical="top"/>
    </xf>
    <xf numFmtId="0" fontId="4" fillId="3" borderId="5" xfId="0" applyFont="1" applyFill="1" applyBorder="1" applyAlignment="1">
      <alignment horizontal="left" vertical="top"/>
    </xf>
    <xf numFmtId="0" fontId="4" fillId="0" borderId="0" xfId="0" applyFont="1" applyAlignment="1">
      <alignment horizontal="center" vertical="top"/>
    </xf>
    <xf numFmtId="1" fontId="5" fillId="0" borderId="0" xfId="1" applyNumberFormat="1" applyFont="1" applyFill="1" applyBorder="1" applyAlignment="1">
      <alignment horizontal="center" vertical="top"/>
    </xf>
    <xf numFmtId="0" fontId="4" fillId="0" borderId="5" xfId="0" applyFont="1" applyBorder="1" applyAlignment="1">
      <alignment horizontal="left" vertical="top"/>
    </xf>
    <xf numFmtId="0" fontId="6" fillId="4" borderId="6" xfId="0" applyFont="1" applyFill="1" applyBorder="1" applyAlignment="1">
      <alignment horizontal="center" vertical="center" wrapText="1"/>
    </xf>
    <xf numFmtId="0" fontId="6" fillId="4" borderId="7" xfId="0" applyFont="1" applyFill="1" applyBorder="1" applyAlignment="1">
      <alignment horizontal="justify" vertical="center" wrapText="1"/>
    </xf>
    <xf numFmtId="0" fontId="6" fillId="4" borderId="7" xfId="0" applyFont="1" applyFill="1" applyBorder="1" applyAlignment="1">
      <alignment horizontal="center" vertical="center" wrapText="1"/>
    </xf>
    <xf numFmtId="0" fontId="0" fillId="0" borderId="0" xfId="0" applyAlignment="1">
      <alignment wrapText="1"/>
    </xf>
    <xf numFmtId="0" fontId="0" fillId="0" borderId="5" xfId="0" applyBorder="1" applyAlignment="1">
      <alignment wrapText="1"/>
    </xf>
    <xf numFmtId="0" fontId="6" fillId="0" borderId="6" xfId="0" applyFont="1" applyBorder="1" applyAlignment="1">
      <alignment horizontal="center" vertical="center" wrapText="1"/>
    </xf>
    <xf numFmtId="0" fontId="0" fillId="0" borderId="7" xfId="0" applyBorder="1" applyAlignment="1">
      <alignment horizontal="justify" vertical="center" wrapText="1"/>
    </xf>
    <xf numFmtId="0" fontId="6" fillId="0" borderId="7" xfId="0" applyFont="1" applyBorder="1" applyAlignment="1">
      <alignment horizontal="center" vertical="center" wrapText="1"/>
    </xf>
    <xf numFmtId="0" fontId="7" fillId="0" borderId="7" xfId="0" applyFont="1" applyBorder="1" applyAlignment="1">
      <alignment horizontal="justify" vertical="center" wrapText="1"/>
    </xf>
    <xf numFmtId="0" fontId="4" fillId="0" borderId="8" xfId="0" applyFont="1" applyBorder="1" applyAlignment="1">
      <alignment wrapText="1"/>
    </xf>
    <xf numFmtId="0" fontId="4" fillId="0" borderId="9" xfId="0" applyFont="1" applyBorder="1" applyAlignment="1">
      <alignment wrapText="1"/>
    </xf>
    <xf numFmtId="0" fontId="7" fillId="0" borderId="10" xfId="0" applyFont="1" applyBorder="1" applyAlignment="1">
      <alignment horizontal="center" vertical="center" wrapText="1"/>
    </xf>
    <xf numFmtId="0" fontId="7" fillId="0" borderId="11" xfId="0" applyFont="1" applyBorder="1" applyAlignment="1">
      <alignment horizontal="justify" vertical="center" wrapText="1"/>
    </xf>
    <xf numFmtId="0" fontId="6" fillId="0" borderId="11" xfId="0" applyFont="1" applyBorder="1" applyAlignment="1">
      <alignment horizontal="center" vertical="center" wrapText="1"/>
    </xf>
    <xf numFmtId="0" fontId="0" fillId="0" borderId="9" xfId="0" applyBorder="1" applyAlignment="1">
      <alignment wrapText="1"/>
    </xf>
    <xf numFmtId="0" fontId="0" fillId="0" borderId="4" xfId="0" applyBorder="1" applyAlignment="1">
      <alignment wrapText="1"/>
    </xf>
    <xf numFmtId="0" fontId="4" fillId="2" borderId="12" xfId="0" applyFont="1" applyFill="1" applyBorder="1" applyAlignment="1">
      <alignment wrapText="1"/>
    </xf>
    <xf numFmtId="0" fontId="4" fillId="2" borderId="13" xfId="0" applyFont="1" applyFill="1" applyBorder="1" applyAlignment="1">
      <alignment wrapText="1"/>
    </xf>
    <xf numFmtId="0" fontId="4" fillId="0" borderId="6" xfId="0" applyFont="1" applyBorder="1" applyAlignment="1">
      <alignment wrapText="1"/>
    </xf>
    <xf numFmtId="0" fontId="4" fillId="0" borderId="7" xfId="0" applyFont="1" applyBorder="1" applyAlignment="1">
      <alignment wrapText="1"/>
    </xf>
    <xf numFmtId="0" fontId="0" fillId="0" borderId="7" xfId="0" applyBorder="1" applyAlignment="1">
      <alignment wrapText="1"/>
    </xf>
    <xf numFmtId="0" fontId="4" fillId="4" borderId="6" xfId="0" applyFont="1" applyFill="1" applyBorder="1" applyAlignment="1">
      <alignment horizontal="center" vertical="center" wrapText="1"/>
    </xf>
    <xf numFmtId="0" fontId="4" fillId="4" borderId="7" xfId="0" applyFont="1" applyFill="1" applyBorder="1" applyAlignment="1">
      <alignment horizontal="justify" vertical="center" wrapText="1"/>
    </xf>
    <xf numFmtId="0" fontId="4" fillId="4" borderId="7" xfId="0" applyFont="1" applyFill="1" applyBorder="1" applyAlignment="1">
      <alignment horizontal="center" vertical="center" wrapText="1"/>
    </xf>
    <xf numFmtId="0" fontId="4" fillId="0" borderId="6" xfId="0" applyFont="1" applyBorder="1" applyAlignment="1">
      <alignment horizontal="center" wrapText="1"/>
    </xf>
    <xf numFmtId="0" fontId="4" fillId="0" borderId="7" xfId="0" applyFont="1" applyBorder="1" applyAlignment="1">
      <alignment horizontal="center" wrapText="1"/>
    </xf>
    <xf numFmtId="0" fontId="0" fillId="0" borderId="6" xfId="0" applyBorder="1" applyAlignment="1">
      <alignment wrapText="1"/>
    </xf>
    <xf numFmtId="0" fontId="4" fillId="0" borderId="4" xfId="0" applyFont="1" applyBorder="1" applyAlignment="1">
      <alignment horizontal="center" wrapText="1"/>
    </xf>
    <xf numFmtId="0" fontId="4" fillId="4" borderId="6" xfId="0" applyFont="1" applyFill="1" applyBorder="1" applyAlignment="1">
      <alignment horizontal="center" wrapText="1"/>
    </xf>
    <xf numFmtId="0" fontId="0" fillId="0" borderId="8" xfId="0" applyBorder="1" applyAlignment="1">
      <alignment wrapText="1"/>
    </xf>
    <xf numFmtId="0" fontId="0" fillId="2" borderId="6" xfId="0" applyFill="1" applyBorder="1" applyAlignment="1">
      <alignment wrapText="1"/>
    </xf>
    <xf numFmtId="0" fontId="2" fillId="2" borderId="7" xfId="0" applyFont="1" applyFill="1" applyBorder="1" applyAlignment="1">
      <alignment horizontal="right" wrapText="1"/>
    </xf>
    <xf numFmtId="0" fontId="2" fillId="2" borderId="7" xfId="0" applyFont="1" applyFill="1" applyBorder="1" applyAlignment="1">
      <alignment wrapText="1"/>
    </xf>
    <xf numFmtId="0" fontId="0" fillId="4" borderId="6" xfId="0" applyFill="1" applyBorder="1" applyAlignment="1">
      <alignment wrapText="1"/>
    </xf>
    <xf numFmtId="0" fontId="2" fillId="4" borderId="7" xfId="0" applyFont="1" applyFill="1" applyBorder="1" applyAlignment="1">
      <alignment horizontal="right" wrapText="1"/>
    </xf>
    <xf numFmtId="1" fontId="2" fillId="4" borderId="7" xfId="1" applyNumberFormat="1" applyFont="1" applyFill="1" applyBorder="1" applyAlignment="1">
      <alignment wrapText="1"/>
    </xf>
    <xf numFmtId="0" fontId="0" fillId="0" borderId="6" xfId="0" applyBorder="1" applyAlignment="1">
      <alignment vertical="top"/>
    </xf>
    <xf numFmtId="0" fontId="2" fillId="5" borderId="7" xfId="0" applyFont="1" applyFill="1" applyBorder="1" applyAlignment="1">
      <alignment horizontal="right" vertical="top"/>
    </xf>
    <xf numFmtId="1" fontId="2" fillId="5" borderId="7" xfId="0" applyNumberFormat="1" applyFont="1" applyFill="1" applyBorder="1" applyAlignment="1">
      <alignment horizontal="right" vertical="top"/>
    </xf>
    <xf numFmtId="0" fontId="8" fillId="0" borderId="0" xfId="0" applyFont="1" applyAlignment="1">
      <alignment wrapText="1"/>
    </xf>
    <xf numFmtId="0" fontId="0" fillId="0" borderId="0" xfId="0" applyAlignment="1">
      <alignment horizontal="left" wrapText="1"/>
    </xf>
    <xf numFmtId="0" fontId="0" fillId="0" borderId="14" xfId="0" applyBorder="1" applyAlignment="1">
      <alignment wrapText="1"/>
    </xf>
    <xf numFmtId="0" fontId="0" fillId="0" borderId="15" xfId="0" applyBorder="1" applyAlignment="1">
      <alignment wrapText="1"/>
    </xf>
    <xf numFmtId="0" fontId="0" fillId="0" borderId="16" xfId="0" applyBorder="1" applyAlignment="1">
      <alignment wrapText="1"/>
    </xf>
  </cellXfs>
  <cellStyles count="2">
    <cellStyle name="Normal" xfId="0" builtinId="0"/>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keithharris/Documents/Data-Analytics-Tools-And-Techniques/2024-25/Assessment/Admin/DATT2025-Assignment-2-Marking-and-Feedback-Sheet.xlsx" TargetMode="External"/><Relationship Id="rId1" Type="http://schemas.openxmlformats.org/officeDocument/2006/relationships/externalLinkPath" Target="/Users/keithharris/Documents/Data-Analytics-Tools-And-Techniques/2024-25/Assessment/Admin/DATT2025-Assignment-2-Marking-and-Feedback-Shee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pyMaster"/>
      <sheetName val="Master"/>
      <sheetName val="CopyMain"/>
      <sheetName val="CG"/>
      <sheetName val="Summary"/>
      <sheetName val="Total Marks"/>
      <sheetName val="Q and A schedule"/>
      <sheetName val="S1"/>
      <sheetName val="S2"/>
      <sheetName val="S3"/>
      <sheetName val="S4"/>
      <sheetName val="S5"/>
      <sheetName val="S6"/>
      <sheetName val="S7"/>
      <sheetName val="S8"/>
      <sheetName val="S9"/>
      <sheetName val="S10"/>
      <sheetName val="S11"/>
      <sheetName val="S12"/>
      <sheetName val="S13"/>
      <sheetName val="S14"/>
      <sheetName val="S15"/>
      <sheetName val="S16"/>
      <sheetName val="S17"/>
      <sheetName val="S18"/>
      <sheetName val="S19"/>
      <sheetName val="S20"/>
      <sheetName val="S21a"/>
      <sheetName val="S21b"/>
      <sheetName val="S22"/>
      <sheetName val="S23"/>
      <sheetName val="S24"/>
      <sheetName val="S25"/>
      <sheetName val="S26"/>
      <sheetName val="S27"/>
    </sheetNames>
    <sheetDataSet>
      <sheetData sheetId="0"/>
      <sheetData sheetId="1"/>
      <sheetData sheetId="2"/>
      <sheetData sheetId="3"/>
      <sheetData sheetId="4">
        <row r="145">
          <cell r="A145">
            <v>27</v>
          </cell>
          <cell r="B145" t="str">
            <v>Sandhya Rani Arepalli</v>
          </cell>
        </row>
        <row r="146">
          <cell r="B146" t="str">
            <v>Taizeem Ahmad Syed</v>
          </cell>
        </row>
        <row r="147">
          <cell r="B147" t="str">
            <v>Varun Kumar Reddy Mallu</v>
          </cell>
        </row>
        <row r="148">
          <cell r="B148" t="str">
            <v>Hruday Abothu</v>
          </cell>
        </row>
        <row r="149">
          <cell r="B149" t="str">
            <v>Mandar Dnyaneshwar Satpute</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DD9D6-29EC-514C-80BF-A87075756E34}">
  <dimension ref="A1:E108"/>
  <sheetViews>
    <sheetView tabSelected="1" workbookViewId="0">
      <selection activeCell="A12" sqref="A12:XFD97"/>
    </sheetView>
  </sheetViews>
  <sheetFormatPr baseColWidth="10" defaultColWidth="9.1640625" defaultRowHeight="16" x14ac:dyDescent="0.2"/>
  <cols>
    <col min="1" max="1" width="14.5" style="22" customWidth="1"/>
    <col min="2" max="2" width="99.33203125" style="22" customWidth="1"/>
    <col min="3" max="3" width="14.33203125" style="22" customWidth="1"/>
    <col min="4" max="4" width="9.1640625" style="22"/>
    <col min="5" max="5" width="13" style="22" customWidth="1"/>
    <col min="6" max="16384" width="9.1640625" style="22"/>
  </cols>
  <sheetData>
    <row r="1" spans="1:5" s="4" customFormat="1" ht="19" x14ac:dyDescent="0.2">
      <c r="A1" s="1" t="s">
        <v>0</v>
      </c>
      <c r="B1" s="2"/>
      <c r="C1" s="2"/>
      <c r="D1" s="2"/>
      <c r="E1" s="3"/>
    </row>
    <row r="2" spans="1:5" s="4" customFormat="1" x14ac:dyDescent="0.2">
      <c r="A2" s="6"/>
      <c r="B2" s="7" t="s">
        <v>1</v>
      </c>
      <c r="C2" s="8">
        <f>[1]Summary!A145</f>
        <v>27</v>
      </c>
      <c r="D2" s="8"/>
      <c r="E2" s="9"/>
    </row>
    <row r="3" spans="1:5" s="4" customFormat="1" x14ac:dyDescent="0.2">
      <c r="A3" s="6"/>
      <c r="B3" s="7" t="s">
        <v>2</v>
      </c>
      <c r="C3" s="10" t="str">
        <f>[1]Summary!B145</f>
        <v>Sandhya Rani Arepalli</v>
      </c>
      <c r="D3" s="10"/>
      <c r="E3" s="11"/>
    </row>
    <row r="4" spans="1:5" s="4" customFormat="1" x14ac:dyDescent="0.2">
      <c r="A4" s="6"/>
      <c r="B4" s="12"/>
      <c r="C4" s="10" t="str">
        <f>[1]Summary!B146</f>
        <v>Taizeem Ahmad Syed</v>
      </c>
      <c r="D4" s="10"/>
      <c r="E4" s="11"/>
    </row>
    <row r="5" spans="1:5" s="4" customFormat="1" x14ac:dyDescent="0.2">
      <c r="A5" s="6"/>
      <c r="B5" s="12"/>
      <c r="C5" s="10" t="str">
        <f>[1]Summary!B147</f>
        <v>Varun Kumar Reddy Mallu</v>
      </c>
      <c r="D5" s="10"/>
      <c r="E5" s="11"/>
    </row>
    <row r="6" spans="1:5" s="4" customFormat="1" x14ac:dyDescent="0.2">
      <c r="A6" s="6"/>
      <c r="B6" s="12"/>
      <c r="C6" s="10" t="str">
        <f>[1]Summary!B148</f>
        <v>Hruday Abothu</v>
      </c>
      <c r="D6" s="10"/>
      <c r="E6" s="11"/>
    </row>
    <row r="7" spans="1:5" s="4" customFormat="1" x14ac:dyDescent="0.2">
      <c r="A7" s="6"/>
      <c r="B7" s="12"/>
      <c r="C7" s="10" t="str">
        <f>[1]Summary!B149</f>
        <v>Mandar Dnyaneshwar Satpute</v>
      </c>
      <c r="D7" s="10"/>
      <c r="E7" s="11"/>
    </row>
    <row r="8" spans="1:5" s="4" customFormat="1" x14ac:dyDescent="0.2">
      <c r="A8" s="6"/>
      <c r="B8" s="12"/>
      <c r="C8" s="10"/>
      <c r="D8" s="10"/>
      <c r="E8" s="11"/>
    </row>
    <row r="9" spans="1:5" s="4" customFormat="1" ht="19" x14ac:dyDescent="0.2">
      <c r="A9" s="6"/>
      <c r="B9" s="7" t="s">
        <v>3</v>
      </c>
      <c r="C9" s="13"/>
      <c r="D9" s="14">
        <f>C97</f>
        <v>74</v>
      </c>
      <c r="E9" s="15"/>
    </row>
    <row r="10" spans="1:5" s="4" customFormat="1" ht="19" x14ac:dyDescent="0.2">
      <c r="A10" s="6"/>
      <c r="B10" s="7"/>
      <c r="C10" s="16"/>
      <c r="D10" s="17"/>
      <c r="E10" s="18"/>
    </row>
    <row r="11" spans="1:5" x14ac:dyDescent="0.2">
      <c r="A11" s="19" t="s">
        <v>4</v>
      </c>
      <c r="B11" s="20" t="s">
        <v>5</v>
      </c>
      <c r="C11" s="21" t="s">
        <v>6</v>
      </c>
      <c r="E11" s="23"/>
    </row>
    <row r="12" spans="1:5" ht="16" customHeight="1" x14ac:dyDescent="0.2">
      <c r="A12" s="24" t="s">
        <v>7</v>
      </c>
      <c r="B12" s="25" t="s">
        <v>8</v>
      </c>
      <c r="C12" s="26">
        <f>IF(B12="Sample mean and standard deviation for each type of salesperson given",1,0)</f>
        <v>1</v>
      </c>
      <c r="E12" s="23"/>
    </row>
    <row r="13" spans="1:5" ht="16" customHeight="1" x14ac:dyDescent="0.2">
      <c r="A13" s="24"/>
      <c r="B13" s="27" t="s">
        <v>9</v>
      </c>
      <c r="C13" s="26">
        <f>IF(B13="Good Interpretation given",2,IF(B13="Partial interpretation and explanation given",1,0))</f>
        <v>2</v>
      </c>
      <c r="E13" s="23"/>
    </row>
    <row r="14" spans="1:5" ht="16" customHeight="1" x14ac:dyDescent="0.2">
      <c r="A14" s="28"/>
      <c r="B14" s="29"/>
      <c r="C14" s="29"/>
      <c r="E14" s="23"/>
    </row>
    <row r="15" spans="1:5" ht="16" customHeight="1" x14ac:dyDescent="0.2">
      <c r="A15" s="24" t="s">
        <v>10</v>
      </c>
      <c r="B15" s="25" t="s">
        <v>11</v>
      </c>
      <c r="C15" s="26">
        <f>IF(B15="Good explanations of distributional assumptions",3,IF(B15="Partial explanation of distributional assumptions",2,0))</f>
        <v>3</v>
      </c>
      <c r="E15" s="23"/>
    </row>
    <row r="16" spans="1:5" ht="16" customHeight="1" x14ac:dyDescent="0.2">
      <c r="A16" s="24"/>
      <c r="B16" s="27" t="s">
        <v>12</v>
      </c>
      <c r="C16" s="26">
        <f>IF(B16="Appropriate histograms given for both samples and discussed",3,IF(B16="Appropriate histograms given for both samples not discussed",2,0))</f>
        <v>3</v>
      </c>
      <c r="E16" s="23"/>
    </row>
    <row r="17" spans="1:5" ht="16" customHeight="1" x14ac:dyDescent="0.2">
      <c r="A17" s="28"/>
      <c r="B17" s="29"/>
      <c r="C17" s="29"/>
      <c r="E17" s="23"/>
    </row>
    <row r="18" spans="1:5" ht="16" customHeight="1" x14ac:dyDescent="0.2">
      <c r="A18" s="24" t="s">
        <v>13</v>
      </c>
      <c r="B18" s="27" t="s">
        <v>14</v>
      </c>
      <c r="C18" s="26">
        <f>IF(B18="Correct parametric test done with correct hypothesis stated and well explained",5,IF(B18="Correct parametric test done but hypothesis not stated correctly",3,IF(B18="Incorrect parametric test done but hypothesis was stated correctly",1,0)))</f>
        <v>3</v>
      </c>
      <c r="E18" s="23"/>
    </row>
    <row r="19" spans="1:5" ht="16" customHeight="1" x14ac:dyDescent="0.2">
      <c r="A19" s="30"/>
      <c r="B19" s="31" t="s">
        <v>15</v>
      </c>
      <c r="C19" s="32">
        <f>IF(B19="Correct confidence intervals given",3,0)</f>
        <v>3</v>
      </c>
      <c r="E19" s="23"/>
    </row>
    <row r="20" spans="1:5" ht="16" customHeight="1" x14ac:dyDescent="0.2">
      <c r="A20" s="24"/>
      <c r="B20" s="25" t="s">
        <v>16</v>
      </c>
      <c r="C20" s="26">
        <f>IF(B20="Comprehensive and excellent interpretation given",8,IF(B20="Good interpretation and explanation given",6,IF(B20="Fair interpretation and explanation given",4,0)))</f>
        <v>6</v>
      </c>
      <c r="E20" s="23"/>
    </row>
    <row r="21" spans="1:5" ht="16" customHeight="1" x14ac:dyDescent="0.2">
      <c r="A21" s="24"/>
      <c r="B21" s="25"/>
      <c r="C21" s="26"/>
      <c r="E21" s="23"/>
    </row>
    <row r="22" spans="1:5" ht="16" customHeight="1" x14ac:dyDescent="0.2">
      <c r="A22" s="24" t="s">
        <v>17</v>
      </c>
      <c r="B22" s="27" t="s">
        <v>18</v>
      </c>
      <c r="C22" s="26">
        <f>IF(B22="Correct non-parametric test done with right tail type and correct results",6,IF(B22="Correct non-parametric test done but with wrong tail type",3,0))</f>
        <v>3</v>
      </c>
      <c r="E22" s="23"/>
    </row>
    <row r="23" spans="1:5" ht="16" customHeight="1" x14ac:dyDescent="0.2">
      <c r="A23" s="28"/>
      <c r="B23" s="33" t="s">
        <v>19</v>
      </c>
      <c r="C23" s="32">
        <f>IF(B23="Excellent, detailed comparison of the two test outcomes done",5,IF(B23="Good comparison of the two test outcomes done",3,IF(B23="Minimal comparison of the two test outcomes done",2,IF(B23="Poor comparison of the two test outcomes done",1,0))))</f>
        <v>5</v>
      </c>
      <c r="E23" s="23"/>
    </row>
    <row r="24" spans="1:5" ht="16" customHeight="1" x14ac:dyDescent="0.2">
      <c r="A24" s="34"/>
      <c r="B24" s="25"/>
      <c r="C24" s="26"/>
      <c r="E24" s="23"/>
    </row>
    <row r="25" spans="1:5" ht="16" customHeight="1" x14ac:dyDescent="0.2">
      <c r="A25" s="24" t="s">
        <v>20</v>
      </c>
      <c r="B25" s="31" t="s">
        <v>21</v>
      </c>
      <c r="C25" s="26">
        <f>IF(B25="Excellent advice given regarding the effectiveness of the proposed training course",4,IF(B25="Fairly good advice given regarding the effectiveness of the proposed training course",2,0))</f>
        <v>2</v>
      </c>
      <c r="D25" s="35">
        <f>SUM(C12:C25)</f>
        <v>31</v>
      </c>
      <c r="E25" s="36" t="s">
        <v>22</v>
      </c>
    </row>
    <row r="26" spans="1:5" ht="16" customHeight="1" x14ac:dyDescent="0.2">
      <c r="A26" s="37"/>
      <c r="B26" s="38"/>
      <c r="C26" s="39"/>
      <c r="E26" s="23"/>
    </row>
    <row r="27" spans="1:5" ht="16" customHeight="1" x14ac:dyDescent="0.2">
      <c r="A27" s="40" t="s">
        <v>23</v>
      </c>
      <c r="B27" s="41" t="s">
        <v>5</v>
      </c>
      <c r="C27" s="42" t="s">
        <v>6</v>
      </c>
      <c r="E27" s="23"/>
    </row>
    <row r="28" spans="1:5" ht="16" customHeight="1" x14ac:dyDescent="0.2">
      <c r="A28" s="43" t="s">
        <v>24</v>
      </c>
      <c r="B28" s="39" t="s">
        <v>25</v>
      </c>
      <c r="C28" s="44">
        <f>IF(B28="Clearly showed correct correlation matrix",2,IF(B28="Partial correlation matrix shown",1,0))</f>
        <v>2</v>
      </c>
      <c r="E28" s="23"/>
    </row>
    <row r="29" spans="1:5" ht="16" customHeight="1" x14ac:dyDescent="0.2">
      <c r="A29" s="43"/>
      <c r="B29" s="39" t="s">
        <v>26</v>
      </c>
      <c r="C29" s="44">
        <f>IF(B29="Clearly showed  Table of Parameter Estimates and Variation Inflation",2,IF(B29="Partial Parameter Estimates Table shown",1,0))</f>
        <v>2</v>
      </c>
      <c r="E29" s="23"/>
    </row>
    <row r="30" spans="1:5" ht="16" customHeight="1" x14ac:dyDescent="0.2">
      <c r="A30" s="43"/>
      <c r="B30" s="39" t="s">
        <v>27</v>
      </c>
      <c r="C30" s="44">
        <f>IF(B30="Clearly showed Table of Collinearity Diagnostics",2,IF(B30="Partial Collinearity Diagnostics Table Shown",1,0))</f>
        <v>0</v>
      </c>
      <c r="E30" s="23"/>
    </row>
    <row r="31" spans="1:5" ht="16" customHeight="1" x14ac:dyDescent="0.2">
      <c r="A31" s="43"/>
      <c r="B31" s="39" t="s">
        <v>28</v>
      </c>
      <c r="C31" s="44">
        <f>IF(B31="Comprehensive discussion of multicollinearity between the explanatory variables",9,IF(B31="Good discussion of multicollinearity between the explanatory variables",7,IF(B31="Some discussion of multicollinearity  between the explanatory variables",5,IF(B31="Minimal discussion of multicollinearity between the explanatory variables",3,IF(B31="Poor discussion of multicollinearity between the explanatory variables",1,0)))))</f>
        <v>5</v>
      </c>
      <c r="E31" s="23"/>
    </row>
    <row r="32" spans="1:5" ht="16" customHeight="1" x14ac:dyDescent="0.2">
      <c r="A32" s="43"/>
      <c r="B32" s="39"/>
      <c r="C32" s="44"/>
      <c r="E32" s="23"/>
    </row>
    <row r="33" spans="1:5" ht="16" customHeight="1" x14ac:dyDescent="0.2">
      <c r="A33" s="43" t="s">
        <v>29</v>
      </c>
      <c r="B33" s="27" t="s">
        <v>30</v>
      </c>
      <c r="C33" s="26">
        <f>IF(B33="Both stepwise and backward elimination regression models fitted correctly",3,IF(B33="Only one regression model fitted correctly",1.5,0))</f>
        <v>3</v>
      </c>
      <c r="E33" s="23"/>
    </row>
    <row r="34" spans="1:5" ht="16" customHeight="1" x14ac:dyDescent="0.2">
      <c r="A34" s="43"/>
      <c r="B34" s="31" t="s">
        <v>31</v>
      </c>
      <c r="C34" s="32">
        <f>IF(B34="Good justification provided for each step of each model",5,IF(B34="Minimal justification provided for each step of each model",3,IF(B34="Minimal justification provided for each step of only one model",1.5,0)))</f>
        <v>3</v>
      </c>
      <c r="E34" s="23"/>
    </row>
    <row r="35" spans="1:5" ht="16" customHeight="1" x14ac:dyDescent="0.2">
      <c r="A35" s="45"/>
      <c r="B35" s="25" t="s">
        <v>32</v>
      </c>
      <c r="C35" s="26">
        <f>IF(B35="All relevant explanatory variables in final reduced model identified correctly",2,IF(B35="Some relevant explanatory variables in final reduced model identified correctly",1,0))</f>
        <v>2</v>
      </c>
      <c r="E35" s="23"/>
    </row>
    <row r="36" spans="1:5" ht="16" customHeight="1" x14ac:dyDescent="0.2">
      <c r="A36" s="45"/>
      <c r="B36" s="25" t="s">
        <v>33</v>
      </c>
      <c r="C36" s="26">
        <f>IF(B36="Good discussion and interpretation given in light of the collinearity analysis",5,IF(B36="Some discussion and interpretation given in light of the collinearity analysis",2.5,0))</f>
        <v>5</v>
      </c>
      <c r="E36" s="23"/>
    </row>
    <row r="37" spans="1:5" ht="16" customHeight="1" x14ac:dyDescent="0.2">
      <c r="A37" s="45"/>
      <c r="B37" s="39"/>
      <c r="C37" s="39"/>
      <c r="E37" s="23"/>
    </row>
    <row r="38" spans="1:5" ht="16" customHeight="1" x14ac:dyDescent="0.2">
      <c r="A38" s="43" t="s">
        <v>34</v>
      </c>
      <c r="B38" s="27" t="s">
        <v>35</v>
      </c>
      <c r="C38" s="26">
        <f>IF(B38="Model selection correctly done using Cp method and comprehensive comparison given",3,IF(B38="Model selection correctly done using Cp method and some comparison given",2,IF(B38="Model selection correctly done using Cp method no comparison given",1,0)))</f>
        <v>2</v>
      </c>
      <c r="E38" s="23"/>
    </row>
    <row r="39" spans="1:5" ht="16" customHeight="1" x14ac:dyDescent="0.2">
      <c r="A39" s="45"/>
      <c r="B39" s="31" t="s">
        <v>36</v>
      </c>
      <c r="C39" s="32">
        <f>IF(B39="Comprehensive discussion and comparison on reduced models identified in part (ii).",3,IF(B39="Some good discussion on reduced models identified in part (ii) but no comparison",2,IF(B39="Minimal discussion on reduced models identified in part (ii) above",1,0)))</f>
        <v>1</v>
      </c>
      <c r="E39" s="23"/>
    </row>
    <row r="40" spans="1:5" ht="16" customHeight="1" x14ac:dyDescent="0.2">
      <c r="A40" s="45"/>
      <c r="B40" s="25" t="s">
        <v>37</v>
      </c>
      <c r="C40" s="26">
        <f>IF(B40="Correct final reduced model and justification given",2,IF(B40="Only Correct final reduced model given",1,0))</f>
        <v>2</v>
      </c>
      <c r="E40" s="23"/>
    </row>
    <row r="41" spans="1:5" ht="16" customHeight="1" x14ac:dyDescent="0.2">
      <c r="A41" s="45"/>
      <c r="B41" s="31" t="s">
        <v>38</v>
      </c>
      <c r="C41" s="32">
        <f>IF(B41="Good and sensible information used in model choice provided",2,0)</f>
        <v>0</v>
      </c>
      <c r="E41" s="23"/>
    </row>
    <row r="42" spans="1:5" ht="16" customHeight="1" x14ac:dyDescent="0.2">
      <c r="A42" s="45"/>
      <c r="B42" s="31"/>
      <c r="C42" s="32"/>
      <c r="E42" s="23"/>
    </row>
    <row r="43" spans="1:5" ht="16" customHeight="1" x14ac:dyDescent="0.2">
      <c r="A43" s="43" t="s">
        <v>39</v>
      </c>
      <c r="B43" s="31" t="s">
        <v>40</v>
      </c>
      <c r="C43" s="32">
        <f>IF(B43="Fitted regression equation is correctly stated",3,0)</f>
        <v>0</v>
      </c>
      <c r="E43" s="23"/>
    </row>
    <row r="44" spans="1:5" ht="16" customHeight="1" x14ac:dyDescent="0.2">
      <c r="A44" s="43"/>
      <c r="B44" s="31" t="s">
        <v>41</v>
      </c>
      <c r="C44" s="44">
        <f>IF(B44="Comprehensive discussion and analysis of partial regression coefficients",10,IF(B44="Good discussion and analysis of partial regression coefficients",8,IF(B44="Some discussion and analysis of partial regression coefficients",6,IF(B44="Minimal discussion and analysis of partial regression coefficients",4,IF(B44="Poor discussion and analysis of partial regression coefficients",2,0)))))</f>
        <v>6</v>
      </c>
      <c r="E44" s="23"/>
    </row>
    <row r="45" spans="1:5" ht="16" customHeight="1" x14ac:dyDescent="0.2">
      <c r="A45" s="45"/>
      <c r="B45" s="39"/>
      <c r="C45" s="39"/>
      <c r="E45" s="23"/>
    </row>
    <row r="46" spans="1:5" ht="16" customHeight="1" x14ac:dyDescent="0.2">
      <c r="A46" s="43" t="s">
        <v>42</v>
      </c>
      <c r="B46" s="39" t="s">
        <v>43</v>
      </c>
      <c r="C46" s="44">
        <f>IF(B46="Comprehensive discussion and analysis of fitted values and all residuals",10,IF(B46="Good discussion and analysis of fitted values and studentised/deleted residuals",8,IF(B46="Some discussion and analysis of fitted values and studentised/deleted residuals",6,IF(B46="Minimal discussion and analysis of fitted values and studentised/deleted residuals",4,IF(B46="Poor discussion and analysis of fitted values and studentised/deleted residuals",2,0)))))</f>
        <v>6</v>
      </c>
      <c r="E46" s="23"/>
    </row>
    <row r="47" spans="1:5" ht="16" customHeight="1" x14ac:dyDescent="0.2">
      <c r="A47" s="43"/>
      <c r="B47" s="39"/>
      <c r="C47" s="44"/>
      <c r="E47" s="23"/>
    </row>
    <row r="48" spans="1:5" ht="16" customHeight="1" x14ac:dyDescent="0.2">
      <c r="A48" s="43" t="s">
        <v>44</v>
      </c>
      <c r="B48" s="27" t="s">
        <v>45</v>
      </c>
      <c r="C48" s="26">
        <f>IF(B48="All potential influential observations correctly identified",2,IF(B48="Minimal insights and influential observations identified",1,IF(B48="No insight but potential influential observations is identified",1,0)))</f>
        <v>2</v>
      </c>
      <c r="E48" s="23"/>
    </row>
    <row r="49" spans="1:5" ht="16" customHeight="1" x14ac:dyDescent="0.2">
      <c r="A49" s="43"/>
      <c r="B49" s="31" t="s">
        <v>46</v>
      </c>
      <c r="C49" s="32">
        <f>IF(B49="New variable ID created and good discussion given",2,IF(B49="New variable ID created but weak/no discussion given",1,0))</f>
        <v>2</v>
      </c>
      <c r="E49" s="23"/>
    </row>
    <row r="50" spans="1:5" ht="16" customHeight="1" x14ac:dyDescent="0.2">
      <c r="A50" s="45"/>
      <c r="B50" s="25" t="s">
        <v>47</v>
      </c>
      <c r="C50" s="26">
        <f>IF(B50="Two most extreme observations identified and comprehensive discussion given",6,IF(B50="Two most extreme observations identified but weak discussion given",4,IF(B50="Only two most extreme observations identified",2,0)))</f>
        <v>4</v>
      </c>
      <c r="E50" s="23"/>
    </row>
    <row r="51" spans="1:5" ht="16" customHeight="1" x14ac:dyDescent="0.2">
      <c r="A51" s="45"/>
      <c r="B51" s="25" t="s">
        <v>48</v>
      </c>
      <c r="C51" s="26">
        <f>IF(B51="Values of leverage, deleted residuals, covariance ratio and DFBETAS correctly given",4,IF(B51="Some values of leverage, deleted residuals, covariance ratio and DFBETAS correctly given",2,0))</f>
        <v>2</v>
      </c>
      <c r="E51" s="23"/>
    </row>
    <row r="52" spans="1:5" ht="16" customHeight="1" x14ac:dyDescent="0.2">
      <c r="A52" s="45"/>
      <c r="B52" s="25"/>
      <c r="C52" s="26"/>
      <c r="E52" s="23"/>
    </row>
    <row r="53" spans="1:5" ht="16" customHeight="1" x14ac:dyDescent="0.2">
      <c r="A53" s="43" t="s">
        <v>49</v>
      </c>
      <c r="B53" s="25" t="s">
        <v>50</v>
      </c>
      <c r="C53" s="26">
        <f>IF(B53="Good interpretation and advice given",5,IF(B53="Partial interpretation and some advice given",3,IF(B53="Poor interpretation or No advice given",1,0)))</f>
        <v>3</v>
      </c>
      <c r="E53" s="23"/>
    </row>
    <row r="54" spans="1:5" ht="16" customHeight="1" x14ac:dyDescent="0.2">
      <c r="A54" s="45"/>
      <c r="B54" s="25" t="s">
        <v>51</v>
      </c>
      <c r="C54" s="44">
        <f>IF(B54="Correct maximum price calculated",3,0)</f>
        <v>3</v>
      </c>
      <c r="D54" s="35">
        <f>SUM(C28:C54)</f>
        <v>55</v>
      </c>
      <c r="E54" s="36" t="s">
        <v>52</v>
      </c>
    </row>
    <row r="55" spans="1:5" ht="16" customHeight="1" x14ac:dyDescent="0.2">
      <c r="A55" s="45"/>
      <c r="B55" s="25"/>
      <c r="C55" s="26"/>
      <c r="E55" s="23"/>
    </row>
    <row r="56" spans="1:5" ht="16" customHeight="1" x14ac:dyDescent="0.2">
      <c r="A56" s="40" t="s">
        <v>53</v>
      </c>
      <c r="B56" s="41" t="s">
        <v>5</v>
      </c>
      <c r="C56" s="42" t="s">
        <v>6</v>
      </c>
      <c r="E56" s="23"/>
    </row>
    <row r="57" spans="1:5" ht="16" customHeight="1" x14ac:dyDescent="0.2">
      <c r="A57" s="43" t="s">
        <v>54</v>
      </c>
      <c r="B57" s="27" t="s">
        <v>55</v>
      </c>
      <c r="C57" s="26">
        <f>IF(B57="Bivariate regression model of Claim on Age correctly done",2,IF(B57="Bivariate regression model of Claim on Age partially done",1,0))</f>
        <v>2</v>
      </c>
      <c r="E57" s="23"/>
    </row>
    <row r="58" spans="1:5" ht="16" customHeight="1" x14ac:dyDescent="0.2">
      <c r="A58" s="45"/>
      <c r="B58" s="31" t="s">
        <v>56</v>
      </c>
      <c r="C58" s="32">
        <f>IF(B58="Scatterplot of Claim against Age with the fitted regression line superimposed",3,IF(B58="Scatterplot of Claim against Age without the fitted regression line superimposed",2,0))</f>
        <v>3</v>
      </c>
      <c r="E58" s="23"/>
    </row>
    <row r="59" spans="1:5" ht="16" customHeight="1" x14ac:dyDescent="0.2">
      <c r="A59" s="45"/>
      <c r="B59" s="25" t="s">
        <v>57</v>
      </c>
      <c r="C59" s="26">
        <f>IF(B59="Plot of studentised residuals against fitted values correctly done",3,IF(B59="Plot of studentised residuals against fitted values partially done",2,0))</f>
        <v>3</v>
      </c>
      <c r="E59" s="23"/>
    </row>
    <row r="60" spans="1:5" ht="16" customHeight="1" x14ac:dyDescent="0.2">
      <c r="A60" s="45"/>
      <c r="B60" s="25" t="s">
        <v>58</v>
      </c>
      <c r="C60" s="26">
        <f>IF(B60="Excellent critical discussion and insight given",4,IF(B60="Reasonable discussion given",2,0))</f>
        <v>4</v>
      </c>
      <c r="E60" s="23"/>
    </row>
    <row r="61" spans="1:5" ht="16" customHeight="1" x14ac:dyDescent="0.2">
      <c r="A61" s="45"/>
      <c r="B61" s="31" t="s">
        <v>59</v>
      </c>
      <c r="C61" s="32">
        <f>IF(B61="Good conclusions given",1,0)</f>
        <v>0</v>
      </c>
      <c r="E61" s="23"/>
    </row>
    <row r="62" spans="1:5" ht="16" customHeight="1" x14ac:dyDescent="0.2">
      <c r="A62" s="45"/>
      <c r="B62" s="25"/>
      <c r="C62" s="26"/>
      <c r="E62" s="23"/>
    </row>
    <row r="63" spans="1:5" ht="16" customHeight="1" x14ac:dyDescent="0.2">
      <c r="A63" s="43" t="s">
        <v>60</v>
      </c>
      <c r="B63" s="27" t="s">
        <v>61</v>
      </c>
      <c r="C63" s="26">
        <f>IF(B63="Bivariate regression model of LnClaim on Age correctly done",2,IF(B63="Bivariate regression model of LnClaim on Age partially done",1,0))</f>
        <v>2</v>
      </c>
      <c r="E63" s="23"/>
    </row>
    <row r="64" spans="1:5" ht="16" customHeight="1" x14ac:dyDescent="0.2">
      <c r="A64" s="43"/>
      <c r="B64" s="31" t="s">
        <v>62</v>
      </c>
      <c r="C64" s="32">
        <f>IF(B64="Scatterplot of LnClaim on Age with fitted regression line superimposed",2,IF(B64="Scatterplot of LnClaim on Age without fitted regression line superimposed",1,0))</f>
        <v>2</v>
      </c>
      <c r="E64" s="23"/>
    </row>
    <row r="65" spans="1:5" ht="16" customHeight="1" x14ac:dyDescent="0.2">
      <c r="A65" s="46"/>
      <c r="B65" s="25" t="s">
        <v>57</v>
      </c>
      <c r="C65" s="26">
        <f>IF(B65="Plot of studentised residuals against fitted values correctly done",1,0)</f>
        <v>1</v>
      </c>
      <c r="E65" s="23"/>
    </row>
    <row r="66" spans="1:5" ht="16" customHeight="1" x14ac:dyDescent="0.2">
      <c r="A66" s="43"/>
      <c r="B66" s="25" t="s">
        <v>63</v>
      </c>
      <c r="C66" s="26">
        <f>IF(B66="Histogram of the studentised residuals correctly done",1,0)</f>
        <v>1</v>
      </c>
      <c r="E66" s="23"/>
    </row>
    <row r="67" spans="1:5" ht="16" customHeight="1" x14ac:dyDescent="0.2">
      <c r="A67" s="43"/>
      <c r="B67" s="31" t="s">
        <v>64</v>
      </c>
      <c r="C67" s="32">
        <f>IF(B67="Normal probability plot of the studentised residuals correctly done",1,0)</f>
        <v>1</v>
      </c>
      <c r="E67" s="23"/>
    </row>
    <row r="68" spans="1:5" ht="16" customHeight="1" x14ac:dyDescent="0.2">
      <c r="A68" s="43"/>
      <c r="B68" s="39" t="s">
        <v>65</v>
      </c>
      <c r="C68" s="44">
        <f>IF(B68="Excellent explanation and model adequacy given",3,IF(B68="Good explanation and model adequacy given",2,IF(B68="Some explanation or model adequacy given",1,0)))</f>
        <v>3</v>
      </c>
      <c r="E68" s="23"/>
    </row>
    <row r="69" spans="1:5" ht="16" customHeight="1" x14ac:dyDescent="0.2">
      <c r="A69" s="43"/>
      <c r="B69" s="39" t="s">
        <v>66</v>
      </c>
      <c r="C69" s="44">
        <f>IF(B69="Excellent recommendation given and correct model identified",2,IF(B69="Reasonable recommendation given or correct model identified",1,0))</f>
        <v>2</v>
      </c>
      <c r="E69" s="23"/>
    </row>
    <row r="70" spans="1:5" ht="16" customHeight="1" x14ac:dyDescent="0.2">
      <c r="A70" s="43"/>
      <c r="B70" s="31"/>
      <c r="C70" s="26"/>
      <c r="E70" s="23"/>
    </row>
    <row r="71" spans="1:5" ht="16" customHeight="1" x14ac:dyDescent="0.2">
      <c r="A71" s="43" t="s">
        <v>67</v>
      </c>
      <c r="B71" s="27" t="s">
        <v>68</v>
      </c>
      <c r="C71" s="26">
        <f>IF(B71="Correct fitted model obtained in (ii) is given",1,0)</f>
        <v>1</v>
      </c>
      <c r="E71" s="23"/>
    </row>
    <row r="72" spans="1:5" ht="16" customHeight="1" x14ac:dyDescent="0.2">
      <c r="A72" s="45"/>
      <c r="B72" s="31" t="s">
        <v>69</v>
      </c>
      <c r="C72" s="32">
        <f>IF(B72="Excellent explanation of usage of model for prediction is given",2,IF(B72="Reasonable explanation of usage of model for prediction is given",1,0))</f>
        <v>2</v>
      </c>
      <c r="E72" s="23"/>
    </row>
    <row r="73" spans="1:5" ht="16" customHeight="1" x14ac:dyDescent="0.2">
      <c r="A73" s="45"/>
      <c r="B73" s="25" t="s">
        <v>70</v>
      </c>
      <c r="C73" s="26">
        <f>IF(B73="Excellent interpretation on model slope given",2,IF(B73="Some interpretation on model slope given",1,0))</f>
        <v>2</v>
      </c>
      <c r="E73" s="23"/>
    </row>
    <row r="74" spans="1:5" ht="16" customHeight="1" x14ac:dyDescent="0.2">
      <c r="A74" s="45"/>
      <c r="B74" s="25" t="s">
        <v>71</v>
      </c>
      <c r="C74" s="26">
        <f>IF(B74="Correct mean value of LnClaim estimated and confidence interval derived",3,IF(B74="Either mean value of LnClaim estimated or confidence interval derived",1.5,0))</f>
        <v>0</v>
      </c>
      <c r="E74" s="23"/>
    </row>
    <row r="75" spans="1:5" ht="16" customHeight="1" x14ac:dyDescent="0.2">
      <c r="A75" s="45"/>
      <c r="B75" s="31" t="s">
        <v>72</v>
      </c>
      <c r="C75" s="32">
        <f>IF(B75="Correct mean value of Claim estimated",2,0)</f>
        <v>2</v>
      </c>
      <c r="D75" s="35">
        <f>SUM(C57:C75)</f>
        <v>31</v>
      </c>
      <c r="E75" s="36" t="s">
        <v>73</v>
      </c>
    </row>
    <row r="76" spans="1:5" ht="16" customHeight="1" x14ac:dyDescent="0.2">
      <c r="A76" s="45"/>
      <c r="B76" s="39"/>
      <c r="C76" s="39"/>
      <c r="E76" s="23"/>
    </row>
    <row r="77" spans="1:5" ht="16" customHeight="1" x14ac:dyDescent="0.2">
      <c r="A77" s="40" t="s">
        <v>74</v>
      </c>
      <c r="B77" s="41" t="s">
        <v>5</v>
      </c>
      <c r="C77" s="42" t="s">
        <v>6</v>
      </c>
      <c r="E77" s="23"/>
    </row>
    <row r="78" spans="1:5" ht="16" customHeight="1" x14ac:dyDescent="0.2">
      <c r="A78" s="43" t="s">
        <v>75</v>
      </c>
      <c r="B78" s="39" t="s">
        <v>76</v>
      </c>
      <c r="C78" s="44">
        <f>IF(B78="Appropriate frequency distribution table given",10,0)</f>
        <v>10</v>
      </c>
      <c r="E78" s="23"/>
    </row>
    <row r="79" spans="1:5" ht="16" customHeight="1" x14ac:dyDescent="0.2">
      <c r="A79" s="43"/>
      <c r="B79" s="39"/>
      <c r="C79" s="44"/>
      <c r="E79" s="23"/>
    </row>
    <row r="80" spans="1:5" ht="16" customHeight="1" x14ac:dyDescent="0.2">
      <c r="A80" s="43" t="s">
        <v>77</v>
      </c>
      <c r="B80" s="39" t="s">
        <v>78</v>
      </c>
      <c r="C80" s="44">
        <f>IF(B80="Correct sample proportion table given",3,0)</f>
        <v>3</v>
      </c>
      <c r="E80" s="23"/>
    </row>
    <row r="81" spans="1:5" ht="16" customHeight="1" x14ac:dyDescent="0.2">
      <c r="A81" s="43"/>
      <c r="B81" s="39" t="s">
        <v>79</v>
      </c>
      <c r="C81" s="44">
        <f>IF(B81="Correct findings given",2,0)</f>
        <v>2</v>
      </c>
      <c r="E81" s="23"/>
    </row>
    <row r="82" spans="1:5" ht="16" customHeight="1" x14ac:dyDescent="0.2">
      <c r="A82" s="43"/>
      <c r="B82" s="39"/>
      <c r="C82" s="44"/>
      <c r="E82" s="23"/>
    </row>
    <row r="83" spans="1:5" ht="16" customHeight="1" x14ac:dyDescent="0.2">
      <c r="A83" s="43" t="s">
        <v>80</v>
      </c>
      <c r="B83" s="39" t="s">
        <v>81</v>
      </c>
      <c r="C83" s="44">
        <f>IF(B83="Comprehensive Statistical test set with correctly declared hypothesis",5,IF(B83="Comprehensive Statistical test set but hypothesis not declared",3,IF(B83="Only hypothesis or test type given",1,0)))</f>
        <v>3</v>
      </c>
      <c r="E83" s="23"/>
    </row>
    <row r="84" spans="1:5" ht="16" customHeight="1" x14ac:dyDescent="0.2">
      <c r="A84" s="43"/>
      <c r="B84" s="39"/>
      <c r="C84" s="44"/>
      <c r="E84" s="23"/>
    </row>
    <row r="85" spans="1:5" ht="16" customHeight="1" x14ac:dyDescent="0.2">
      <c r="A85" s="43" t="s">
        <v>82</v>
      </c>
      <c r="B85" s="39" t="s">
        <v>83</v>
      </c>
      <c r="C85" s="44">
        <f>IF(B85="Correct difference of true proportions was computed",1,0)</f>
        <v>0</v>
      </c>
      <c r="E85" s="23"/>
    </row>
    <row r="86" spans="1:5" ht="16" customHeight="1" x14ac:dyDescent="0.2">
      <c r="A86" s="43"/>
      <c r="B86" s="39" t="s">
        <v>84</v>
      </c>
      <c r="C86" s="44">
        <f>IF(B86="Correct confidence interval given",1,0)</f>
        <v>0</v>
      </c>
      <c r="E86" s="23"/>
    </row>
    <row r="87" spans="1:5" ht="16" customHeight="1" x14ac:dyDescent="0.2">
      <c r="A87" s="34"/>
      <c r="B87" s="39" t="s">
        <v>85</v>
      </c>
      <c r="C87" s="44">
        <f>IF(B87="Correct justification and interpretation given",3,0)</f>
        <v>3</v>
      </c>
      <c r="D87" s="35">
        <f>SUM(C78:C87)</f>
        <v>21</v>
      </c>
      <c r="E87" s="36" t="s">
        <v>86</v>
      </c>
    </row>
    <row r="88" spans="1:5" ht="16" customHeight="1" x14ac:dyDescent="0.2">
      <c r="A88" s="43"/>
      <c r="B88" s="39"/>
      <c r="C88" s="44"/>
      <c r="E88" s="23"/>
    </row>
    <row r="89" spans="1:5" ht="16" customHeight="1" x14ac:dyDescent="0.2">
      <c r="A89" s="47" t="s">
        <v>87</v>
      </c>
      <c r="B89" s="20" t="s">
        <v>88</v>
      </c>
      <c r="C89" s="21" t="s">
        <v>6</v>
      </c>
      <c r="E89" s="23"/>
    </row>
    <row r="90" spans="1:5" ht="16" customHeight="1" x14ac:dyDescent="0.2">
      <c r="A90" s="37"/>
      <c r="B90" s="27" t="s">
        <v>89</v>
      </c>
      <c r="C90" s="26">
        <f>IF(B90="Numbered Sections, Subheadings and page numbering done",4,IF(B90="Fairly organised Sections, Subheadings and page numbering done",3,IF(B90="Report lacks organisation and no page numbering done",2,0)))</f>
        <v>3</v>
      </c>
      <c r="E90" s="23"/>
    </row>
    <row r="91" spans="1:5" ht="16" customHeight="1" x14ac:dyDescent="0.2">
      <c r="A91" s="37"/>
      <c r="B91" s="27" t="s">
        <v>90</v>
      </c>
      <c r="C91" s="26">
        <f>IF(B91="Correct spellings, no grammatical errors, within word count",4,IF(B91="Correct spellings, no grammatical errors but went over the word count",2,IF(B91="Report has some grammatical errors but within word count",2,0)))</f>
        <v>2</v>
      </c>
      <c r="E91" s="23"/>
    </row>
    <row r="92" spans="1:5" ht="16" customHeight="1" x14ac:dyDescent="0.2">
      <c r="A92" s="37"/>
      <c r="B92" s="27" t="s">
        <v>91</v>
      </c>
      <c r="C92" s="26">
        <f>IF(B92="All figures, tables, screenshots were neatly numbered, cropped and well labeled",4,IF(B92="Figures, tables or screenshots were labeled but not cropped or sized properly",3,IF(B92="Only some figures, tables or screenshots given were labeled",2,0)))</f>
        <v>2</v>
      </c>
      <c r="E92" s="23"/>
    </row>
    <row r="93" spans="1:5" ht="16" customHeight="1" x14ac:dyDescent="0.2">
      <c r="A93" s="37"/>
      <c r="B93" s="27" t="s">
        <v>92</v>
      </c>
      <c r="C93" s="26">
        <f>IF(B93="No use of first person – I, we, you, us, my in your report",3,IF(B93="Limited usage of first person – I, we, you, us, my in your report",2,0))</f>
        <v>3</v>
      </c>
      <c r="D93" s="35">
        <f>SUM(C89:C93)</f>
        <v>10</v>
      </c>
      <c r="E93" s="36" t="s">
        <v>93</v>
      </c>
    </row>
    <row r="94" spans="1:5" ht="16" customHeight="1" x14ac:dyDescent="0.2">
      <c r="A94" s="48"/>
      <c r="B94" s="29"/>
      <c r="C94" s="29"/>
      <c r="E94" s="23"/>
    </row>
    <row r="95" spans="1:5" ht="16" customHeight="1" x14ac:dyDescent="0.2">
      <c r="A95" s="49"/>
      <c r="B95" s="50" t="s">
        <v>94</v>
      </c>
      <c r="C95" s="51">
        <f>D25+D87+D54+D75+D93</f>
        <v>148</v>
      </c>
      <c r="E95" s="23"/>
    </row>
    <row r="96" spans="1:5" ht="16" customHeight="1" x14ac:dyDescent="0.2">
      <c r="A96" s="52"/>
      <c r="B96" s="53" t="s">
        <v>95</v>
      </c>
      <c r="C96" s="54">
        <f>ROUND(C95/2,0)</f>
        <v>74</v>
      </c>
      <c r="E96" s="23"/>
    </row>
    <row r="97" spans="1:5" s="4" customFormat="1" ht="16" customHeight="1" x14ac:dyDescent="0.2">
      <c r="A97" s="55"/>
      <c r="B97" s="56" t="s">
        <v>96</v>
      </c>
      <c r="C97" s="57">
        <v>74</v>
      </c>
      <c r="E97" s="23"/>
    </row>
    <row r="98" spans="1:5" x14ac:dyDescent="0.2">
      <c r="A98" s="34"/>
      <c r="E98" s="23"/>
    </row>
    <row r="99" spans="1:5" ht="14.25" customHeight="1" x14ac:dyDescent="0.2">
      <c r="A99" s="46" t="s">
        <v>97</v>
      </c>
      <c r="B99" s="58" t="s">
        <v>98</v>
      </c>
      <c r="E99" s="23"/>
    </row>
    <row r="100" spans="1:5" ht="78.75" customHeight="1" x14ac:dyDescent="0.2">
      <c r="A100" s="34"/>
      <c r="B100" s="5" t="s">
        <v>99</v>
      </c>
      <c r="E100" s="23"/>
    </row>
    <row r="101" spans="1:5" x14ac:dyDescent="0.2">
      <c r="A101" s="34"/>
      <c r="B101" s="58" t="s">
        <v>100</v>
      </c>
      <c r="E101" s="23"/>
    </row>
    <row r="102" spans="1:5" ht="344.25" customHeight="1" x14ac:dyDescent="0.2">
      <c r="A102" s="34"/>
      <c r="B102" s="59" t="s">
        <v>101</v>
      </c>
      <c r="E102" s="23"/>
    </row>
    <row r="103" spans="1:5" x14ac:dyDescent="0.2">
      <c r="A103" s="34"/>
      <c r="B103" s="58" t="s">
        <v>102</v>
      </c>
      <c r="E103" s="23"/>
    </row>
    <row r="104" spans="1:5" ht="119" x14ac:dyDescent="0.2">
      <c r="A104" s="34"/>
      <c r="B104" s="22" t="s">
        <v>103</v>
      </c>
      <c r="E104" s="23"/>
    </row>
    <row r="105" spans="1:5" x14ac:dyDescent="0.2">
      <c r="A105" s="34"/>
      <c r="B105" s="58" t="s">
        <v>104</v>
      </c>
      <c r="E105" s="23"/>
    </row>
    <row r="106" spans="1:5" ht="80" customHeight="1" x14ac:dyDescent="0.2">
      <c r="A106" s="34"/>
      <c r="B106" s="5" t="s">
        <v>105</v>
      </c>
      <c r="E106" s="23"/>
    </row>
    <row r="107" spans="1:5" x14ac:dyDescent="0.2">
      <c r="A107" s="34"/>
      <c r="B107" s="58" t="s">
        <v>93</v>
      </c>
      <c r="E107" s="23"/>
    </row>
    <row r="108" spans="1:5" ht="164.25" customHeight="1" thickBot="1" x14ac:dyDescent="0.25">
      <c r="A108" s="60"/>
      <c r="B108" s="61" t="s">
        <v>106</v>
      </c>
      <c r="C108" s="61"/>
      <c r="D108" s="61"/>
      <c r="E108" s="62"/>
    </row>
  </sheetData>
  <mergeCells count="7">
    <mergeCell ref="C8:E8"/>
    <mergeCell ref="A1:E1"/>
    <mergeCell ref="C3:E3"/>
    <mergeCell ref="C4:E4"/>
    <mergeCell ref="C5:E5"/>
    <mergeCell ref="C6:E6"/>
    <mergeCell ref="C7:E7"/>
  </mergeCells>
  <dataValidations count="2">
    <dataValidation type="list" allowBlank="1" showInputMessage="1" showErrorMessage="1" sqref="B48" xr:uid="{4C44AC4D-5508-884D-83BB-F66E06EE0F9C}">
      <formula1>"All potential influential observations correctly identified,Minimal insights and influential observations identified,No insight but potential influential observations is identified,No insight or influential observation is identified"</formula1>
    </dataValidation>
    <dataValidation type="list" allowBlank="1" showInputMessage="1" showErrorMessage="1" sqref="B55 B70 B47 B32 B62" xr:uid="{55BD08AF-E818-7D49-9314-4E79B0EB94E2}">
      <formula1>#REF!</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Keith Harris</dc:creator>
  <cp:lastModifiedBy>Keith Harris</cp:lastModifiedBy>
  <dcterms:created xsi:type="dcterms:W3CDTF">2025-05-09T14:23:54Z</dcterms:created>
  <dcterms:modified xsi:type="dcterms:W3CDTF">2025-05-09T14:24:52Z</dcterms:modified>
</cp:coreProperties>
</file>